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4" documentId="8_{2305EAE4-9967-4950-90C0-11CE4E2CCA99}" xr6:coauthVersionLast="47" xr6:coauthVersionMax="47" xr10:uidLastSave="{21A1FE44-B374-48F4-B9F2-C7B28973E0E9}"/>
  <bookViews>
    <workbookView xWindow="-108" yWindow="-108" windowWidth="23256" windowHeight="12456" xr2:uid="{FB2DF452-3367-48BB-8810-8E8E43CABFC5}"/>
  </bookViews>
  <sheets>
    <sheet name="TABLE 1" sheetId="3" r:id="rId1"/>
  </sheets>
  <definedNames>
    <definedName name="ExternalData_1" localSheetId="0" hidden="1">'TABLE 1'!$A$1:$I$57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7372CC-F634-4413-8075-2DEE9442E26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5661F2D8-B71E-43CA-8D3E-D7DBE6AA0EFF}" keepAlive="1" name="Query - Table2_1" description="Connection to the 'Table2_1' query in the workbook." type="5" refreshedVersion="0" background="1">
    <dbPr connection="Provider=Microsoft.Mashup.OleDb.1;Data Source=$Workbook$;Location=Table2_1;Extended Properties=&quot;&quot;" command="SELECT * FROM [Table2_1]"/>
  </connection>
  <connection id="3" xr16:uid="{DD0F0734-F7AB-47BD-9F09-F99C9FDA7B25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<sst xmlns="http://schemas.openxmlformats.org/spreadsheetml/2006/main" count="285" uniqueCount="127">
  <si>
    <t>Student_ID</t>
  </si>
  <si>
    <t>Name</t>
  </si>
  <si>
    <t>Age</t>
  </si>
  <si>
    <t>Gender</t>
  </si>
  <si>
    <t>Department</t>
  </si>
  <si>
    <t>Attendance (%)</t>
  </si>
  <si>
    <t>Average_Marks</t>
  </si>
  <si>
    <t>Last_Exam_Date</t>
  </si>
  <si>
    <t>Remarks</t>
  </si>
  <si>
    <t>Remark</t>
  </si>
  <si>
    <t>S001</t>
  </si>
  <si>
    <t>Alice Johnson</t>
  </si>
  <si>
    <t>Male</t>
  </si>
  <si>
    <t>ECE</t>
  </si>
  <si>
    <t>Needs Improvement</t>
  </si>
  <si>
    <t>S002</t>
  </si>
  <si>
    <t>Bob Smith</t>
  </si>
  <si>
    <t>Female</t>
  </si>
  <si>
    <t>Mechanical</t>
  </si>
  <si>
    <t>Poor</t>
  </si>
  <si>
    <t>S003</t>
  </si>
  <si>
    <t>Carol Evans</t>
  </si>
  <si>
    <t>Good</t>
  </si>
  <si>
    <t>S004</t>
  </si>
  <si>
    <t>David Lee</t>
  </si>
  <si>
    <t>S005</t>
  </si>
  <si>
    <t>Eva Mendes</t>
  </si>
  <si>
    <t>S006</t>
  </si>
  <si>
    <t>Frank Wright</t>
  </si>
  <si>
    <t>IT</t>
  </si>
  <si>
    <t>S007</t>
  </si>
  <si>
    <t>Grace Kim</t>
  </si>
  <si>
    <t>Computer Sci</t>
  </si>
  <si>
    <t>S008</t>
  </si>
  <si>
    <t>Henry Ford</t>
  </si>
  <si>
    <t>S009</t>
  </si>
  <si>
    <t>Isla Moore</t>
  </si>
  <si>
    <t>S010</t>
  </si>
  <si>
    <t>Jack Black</t>
  </si>
  <si>
    <t>S011</t>
  </si>
  <si>
    <t>Karen Young</t>
  </si>
  <si>
    <t>S012</t>
  </si>
  <si>
    <t>Leo Brown</t>
  </si>
  <si>
    <t>S013</t>
  </si>
  <si>
    <t>Mia Davis</t>
  </si>
  <si>
    <t>S014</t>
  </si>
  <si>
    <t>Nina Patel</t>
  </si>
  <si>
    <t>Average</t>
  </si>
  <si>
    <t>S015</t>
  </si>
  <si>
    <t>Oscar White</t>
  </si>
  <si>
    <t>S016</t>
  </si>
  <si>
    <t>Pamela Green</t>
  </si>
  <si>
    <t>S017</t>
  </si>
  <si>
    <t>Quinn Hall</t>
  </si>
  <si>
    <t>S018</t>
  </si>
  <si>
    <t>Rita Clark</t>
  </si>
  <si>
    <t>S019</t>
  </si>
  <si>
    <t>Steve Lewis</t>
  </si>
  <si>
    <t>Excellent</t>
  </si>
  <si>
    <t>S020</t>
  </si>
  <si>
    <t>Tina Turner</t>
  </si>
  <si>
    <t>S021</t>
  </si>
  <si>
    <t>Uma Singh</t>
  </si>
  <si>
    <t>S022</t>
  </si>
  <si>
    <t>Vikram Shah</t>
  </si>
  <si>
    <t>S023</t>
  </si>
  <si>
    <t>Wendy Scott</t>
  </si>
  <si>
    <t>S024</t>
  </si>
  <si>
    <t>Xavier Hill</t>
  </si>
  <si>
    <t>S025</t>
  </si>
  <si>
    <t>Yara Ali</t>
  </si>
  <si>
    <t>S026</t>
  </si>
  <si>
    <t>Zane Carter</t>
  </si>
  <si>
    <t>S027</t>
  </si>
  <si>
    <t>Amy Roberts</t>
  </si>
  <si>
    <t>S028</t>
  </si>
  <si>
    <t>Brian King</t>
  </si>
  <si>
    <t>S029</t>
  </si>
  <si>
    <t>Clara Morris</t>
  </si>
  <si>
    <t>S030</t>
  </si>
  <si>
    <t>Derek Price</t>
  </si>
  <si>
    <t>S031</t>
  </si>
  <si>
    <t>Ella Brooks</t>
  </si>
  <si>
    <t>S032</t>
  </si>
  <si>
    <t>Fiona Fox</t>
  </si>
  <si>
    <t>S033</t>
  </si>
  <si>
    <t>George Hill</t>
  </si>
  <si>
    <t>S034</t>
  </si>
  <si>
    <t>Hannah Lee</t>
  </si>
  <si>
    <t>S035</t>
  </si>
  <si>
    <t>Ian Wright</t>
  </si>
  <si>
    <t>S036</t>
  </si>
  <si>
    <t>Jenna Cole</t>
  </si>
  <si>
    <t>S037</t>
  </si>
  <si>
    <t>Kyle Adams</t>
  </si>
  <si>
    <t>S038</t>
  </si>
  <si>
    <t>Lara Jones</t>
  </si>
  <si>
    <t>S039</t>
  </si>
  <si>
    <t>Matt Green</t>
  </si>
  <si>
    <t>S040</t>
  </si>
  <si>
    <t>Nora Bell</t>
  </si>
  <si>
    <t>S041</t>
  </si>
  <si>
    <t>Omar Ahmed</t>
  </si>
  <si>
    <t>S042</t>
  </si>
  <si>
    <t>Paula Rose</t>
  </si>
  <si>
    <t>S043</t>
  </si>
  <si>
    <t>Quincy Brown</t>
  </si>
  <si>
    <t>S044</t>
  </si>
  <si>
    <t>Rachel Cox</t>
  </si>
  <si>
    <t>S045</t>
  </si>
  <si>
    <t>Sam Fisher</t>
  </si>
  <si>
    <t>S046</t>
  </si>
  <si>
    <t>Tara Evans</t>
  </si>
  <si>
    <t>S047</t>
  </si>
  <si>
    <t>Umar Khan</t>
  </si>
  <si>
    <t>S048</t>
  </si>
  <si>
    <t>Vera Long</t>
  </si>
  <si>
    <t>S049</t>
  </si>
  <si>
    <t>Will Baker</t>
  </si>
  <si>
    <t>S050</t>
  </si>
  <si>
    <t>Zara Malik</t>
  </si>
  <si>
    <t>S051</t>
  </si>
  <si>
    <t>S052</t>
  </si>
  <si>
    <t>S053</t>
  </si>
  <si>
    <t>S054</t>
  </si>
  <si>
    <t>S055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</si>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</sst>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A17D59-4EFD-4C44-A9E2-01FDA43264A3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Student_ID" tableColumnId="1"/>
      <queryTableField id="2" name="Name" tableColumnId="2"/>
      <queryTableField id="3" name="Age" tableColumnId="3"/>
      <queryTableField id="4" name="Gender" tableColumnId="4"/>
      <queryTableField id="5" name="Department" tableColumnId="5"/>
      <queryTableField id="6" name="Attendance (%)" tableColumnId="6"/>
      <queryTableField id="7" name="Average_Marks" tableColumnId="7"/>
      <queryTableField id="8" name="Last_Exam_Date" tableColumnId="8"/>
      <queryTableField id="9" name="Remarks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9088B-3CFF-4FD9-93CC-1632BE857AB1}" name="Table2_1" displayName="Table2_1" ref="A1:J58" tableType="queryTable" totalsRowCount="1">
  <autoFilter ref="A1:J57" xr:uid="{6369088B-3CFF-4FD9-93CC-1632BE857AB1}"/>
  <tableColumns count="10">
    <tableColumn id="1" xr3:uid="{50F05ACA-E7BF-4944-B1D5-A9252B46014C}" uniqueName="1" name="Student_ID" queryTableFieldId="1" dataDxfId="21" totalsRowDxfId="22"/>
    <tableColumn id="2" xr3:uid="{AD4A9A94-1294-434D-96EF-4302F974460D}" uniqueName="2" name="Name" queryTableFieldId="2" dataDxfId="19" totalsRowDxfId="20"/>
    <tableColumn id="3" xr3:uid="{CEF28167-CD62-4EB4-B0C1-CDC196A2BC3E}" uniqueName="3" name="Age" queryTableFieldId="3" dataDxfId="17" totalsRowDxfId="18"/>
    <tableColumn id="4" xr3:uid="{68E6546E-5C38-4411-89F8-FE9A17EDB0B1}" uniqueName="4" name="Gender" queryTableFieldId="4" dataDxfId="15" totalsRowDxfId="16"/>
    <tableColumn id="5" xr3:uid="{6153839A-AB9A-4A4E-99E4-7F49988B26D5}" uniqueName="5" name="Department" queryTableFieldId="5" dataDxfId="13" totalsRowDxfId="14"/>
    <tableColumn id="6" xr3:uid="{8E3AFBCD-6949-489A-B123-A09F5B6A8D28}" uniqueName="6" name="Attendance (%)" queryTableFieldId="6" dataDxfId="11" totalsRowDxfId="12"/>
    <tableColumn id="7" xr3:uid="{EB87A9BF-44A7-45F9-9CCA-C2030553B1E3}" uniqueName="7" name="Average_Marks" queryTableFieldId="7" dataDxfId="9" totalsRowDxfId="10"/>
    <tableColumn id="8" xr3:uid="{36C66461-F5FF-4608-A2CB-8873E9BC173E}" uniqueName="8" name="Last_Exam_Date" queryTableFieldId="8" dataDxfId="7" totalsRowDxfId="8"/>
    <tableColumn id="9" xr3:uid="{24C1E823-1C4B-403E-89E2-58B6E6EA357A}" uniqueName="9" name="Remarks" queryTableFieldId="9" dataDxfId="5" totalsRowDxfId="6"/>
    <tableColumn id="10" xr3:uid="{64CA7020-DB4E-4A47-BFEE-94294AD56FB4}" uniqueName="10" name="Remark" queryTableFieldId="10" dataDxfId="3" totalsRowDxfId="4">
      <calculatedColumnFormula>IF(G3&lt;=60, "POOR",IF(G3&lt;=70,"Need Improvement",IF(G3&lt;=80,"AVERAGE",IF(G3&lt;=90,"GOOD", "EXCELLENT"))))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54337D-488F-4F55-AB40-DB5C5D01D546}" name="Table4" displayName="Table4" ref="F61:F62" insertRow="1" totalsRowShown="0" headerRowDxfId="2" dataDxfId="1">
  <autoFilter ref="F61:F62" xr:uid="{3254337D-488F-4F55-AB40-DB5C5D01D546}"/>
  <tableColumns count="1">
    <tableColumn id="1" xr3:uid="{1C622B56-9378-44D0-8556-D64D35D9A538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C8F5-DFB4-465D-936C-8D80986A1FC1}">
  <dimension ref="A1:J61"/>
  <sheetViews>
    <sheetView tabSelected="1" workbookViewId="0">
      <selection activeCell="J1" sqref="J1:J1048576"/>
    </sheetView>
  </sheetViews>
  <sheetFormatPr defaultRowHeight="14.45"/>
  <cols>
    <col min="1" max="1" width="12.7109375" style="1" bestFit="1" customWidth="1"/>
    <col min="2" max="2" width="12.28515625" style="1" bestFit="1" customWidth="1"/>
    <col min="3" max="3" width="6.42578125" style="1" bestFit="1" customWidth="1"/>
    <col min="4" max="4" width="9.28515625" style="1" bestFit="1" customWidth="1"/>
    <col min="5" max="5" width="13.28515625" style="1" bestFit="1" customWidth="1"/>
    <col min="6" max="6" width="16.28515625" style="1" bestFit="1" customWidth="1"/>
    <col min="7" max="7" width="16.42578125" style="1" bestFit="1" customWidth="1"/>
    <col min="8" max="8" width="17.140625" style="1" bestFit="1" customWidth="1"/>
    <col min="9" max="9" width="17.7109375" style="1" bestFit="1" customWidth="1"/>
    <col min="10" max="10" width="17.42578125" style="6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s="2" t="s">
        <v>10</v>
      </c>
      <c r="B2" s="2" t="s">
        <v>11</v>
      </c>
      <c r="C2" s="1">
        <v>19</v>
      </c>
      <c r="D2" s="2" t="s">
        <v>12</v>
      </c>
      <c r="E2" s="2" t="s">
        <v>13</v>
      </c>
      <c r="F2" s="1">
        <v>74</v>
      </c>
      <c r="G2" s="1">
        <v>68</v>
      </c>
      <c r="H2" s="3">
        <v>45366</v>
      </c>
      <c r="I2" s="2" t="s">
        <v>14</v>
      </c>
      <c r="J2" s="5" t="str">
        <f t="shared" ref="J2:J33" si="0">IF(G3&lt;=60, "POOR",IF(G3&lt;=70,"Need Improvement",IF(G3&lt;=80,"AVERAGE",IF(G3&lt;=90,"GOOD", "EXCELLENT"))))</f>
        <v>AVERAGE</v>
      </c>
    </row>
    <row r="3" spans="1:10">
      <c r="A3" s="2" t="s">
        <v>15</v>
      </c>
      <c r="B3" s="2" t="s">
        <v>16</v>
      </c>
      <c r="D3" s="2" t="s">
        <v>17</v>
      </c>
      <c r="E3" s="2" t="s">
        <v>18</v>
      </c>
      <c r="F3" s="1">
        <v>60</v>
      </c>
      <c r="G3" s="1">
        <v>71</v>
      </c>
      <c r="H3" s="3">
        <v>45371</v>
      </c>
      <c r="I3" s="2" t="s">
        <v>19</v>
      </c>
      <c r="J3" s="5" t="str">
        <f t="shared" si="0"/>
        <v>GOOD</v>
      </c>
    </row>
    <row r="4" spans="1:10">
      <c r="A4" s="2" t="s">
        <v>20</v>
      </c>
      <c r="B4" s="2" t="s">
        <v>21</v>
      </c>
      <c r="C4" s="1">
        <v>21</v>
      </c>
      <c r="D4" s="2" t="s">
        <v>12</v>
      </c>
      <c r="E4" s="2" t="s">
        <v>13</v>
      </c>
      <c r="F4" s="1">
        <v>69</v>
      </c>
      <c r="G4" s="1">
        <v>81</v>
      </c>
      <c r="H4" s="3">
        <v>45380</v>
      </c>
      <c r="I4" s="2" t="s">
        <v>22</v>
      </c>
      <c r="J4" s="5" t="str">
        <f t="shared" si="0"/>
        <v>Need Improvement</v>
      </c>
    </row>
    <row r="5" spans="1:10">
      <c r="A5" s="2" t="s">
        <v>23</v>
      </c>
      <c r="B5" s="2" t="s">
        <v>24</v>
      </c>
      <c r="C5" s="1">
        <v>21</v>
      </c>
      <c r="D5" s="2" t="s">
        <v>12</v>
      </c>
      <c r="E5" s="2" t="s">
        <v>13</v>
      </c>
      <c r="F5" s="1">
        <v>76</v>
      </c>
      <c r="G5" s="1">
        <v>62</v>
      </c>
      <c r="H5" s="3">
        <v>45366</v>
      </c>
      <c r="I5" s="2" t="s">
        <v>14</v>
      </c>
      <c r="J5" s="5" t="str">
        <f t="shared" si="0"/>
        <v>POOR</v>
      </c>
    </row>
    <row r="6" spans="1:10">
      <c r="A6" s="2" t="s">
        <v>25</v>
      </c>
      <c r="B6" s="2" t="s">
        <v>26</v>
      </c>
      <c r="C6" s="1">
        <v>24</v>
      </c>
      <c r="D6" s="2" t="s">
        <v>12</v>
      </c>
      <c r="E6" s="2" t="s">
        <v>18</v>
      </c>
      <c r="F6" s="1">
        <v>86</v>
      </c>
      <c r="G6" s="1">
        <v>55</v>
      </c>
      <c r="H6" s="3">
        <v>45376</v>
      </c>
      <c r="I6" s="2"/>
      <c r="J6" s="5" t="str">
        <f t="shared" si="0"/>
        <v>POOR</v>
      </c>
    </row>
    <row r="7" spans="1:10">
      <c r="A7" s="2" t="s">
        <v>27</v>
      </c>
      <c r="B7" s="2" t="s">
        <v>28</v>
      </c>
      <c r="C7" s="1">
        <v>25</v>
      </c>
      <c r="D7" s="2" t="s">
        <v>17</v>
      </c>
      <c r="E7" s="2" t="s">
        <v>29</v>
      </c>
      <c r="F7" s="1">
        <v>52</v>
      </c>
      <c r="G7" s="1">
        <v>58</v>
      </c>
      <c r="H7" s="3">
        <v>45377</v>
      </c>
      <c r="I7" s="2" t="s">
        <v>19</v>
      </c>
      <c r="J7" s="5" t="str">
        <f t="shared" si="0"/>
        <v>Need Improvement</v>
      </c>
    </row>
    <row r="8" spans="1:10">
      <c r="A8" s="2" t="s">
        <v>30</v>
      </c>
      <c r="B8" s="2" t="s">
        <v>31</v>
      </c>
      <c r="D8" s="2" t="s">
        <v>17</v>
      </c>
      <c r="E8" s="2" t="s">
        <v>32</v>
      </c>
      <c r="F8" s="1">
        <v>92</v>
      </c>
      <c r="G8" s="1">
        <v>62</v>
      </c>
      <c r="H8" s="3">
        <v>45366</v>
      </c>
      <c r="I8" s="2" t="s">
        <v>14</v>
      </c>
      <c r="J8" s="5" t="str">
        <f t="shared" si="0"/>
        <v>POOR</v>
      </c>
    </row>
    <row r="9" spans="1:10">
      <c r="A9" s="2" t="s">
        <v>33</v>
      </c>
      <c r="B9" s="2" t="s">
        <v>34</v>
      </c>
      <c r="C9" s="1">
        <v>24</v>
      </c>
      <c r="D9" s="2" t="s">
        <v>12</v>
      </c>
      <c r="E9" s="2" t="s">
        <v>32</v>
      </c>
      <c r="F9" s="1">
        <v>83</v>
      </c>
      <c r="G9" s="1">
        <v>58</v>
      </c>
      <c r="H9" s="3">
        <v>45363</v>
      </c>
      <c r="I9" s="2" t="s">
        <v>19</v>
      </c>
      <c r="J9" s="5" t="str">
        <f t="shared" si="0"/>
        <v>POOR</v>
      </c>
    </row>
    <row r="10" spans="1:10">
      <c r="A10" s="2" t="s">
        <v>35</v>
      </c>
      <c r="B10" s="2" t="s">
        <v>36</v>
      </c>
      <c r="C10" s="1">
        <v>21</v>
      </c>
      <c r="D10" s="2" t="s">
        <v>17</v>
      </c>
      <c r="E10" s="2" t="s">
        <v>18</v>
      </c>
      <c r="F10" s="1">
        <v>54</v>
      </c>
      <c r="G10" s="1">
        <v>59</v>
      </c>
      <c r="H10" s="3">
        <v>45376</v>
      </c>
      <c r="I10" s="2" t="s">
        <v>19</v>
      </c>
      <c r="J10" s="5" t="str">
        <f t="shared" si="0"/>
        <v>Need Improvement</v>
      </c>
    </row>
    <row r="11" spans="1:10">
      <c r="A11" s="2" t="s">
        <v>37</v>
      </c>
      <c r="B11" s="2" t="s">
        <v>38</v>
      </c>
      <c r="C11" s="1">
        <v>19</v>
      </c>
      <c r="D11" s="2" t="s">
        <v>17</v>
      </c>
      <c r="E11" s="2" t="s">
        <v>13</v>
      </c>
      <c r="F11" s="1">
        <v>95</v>
      </c>
      <c r="G11" s="1">
        <v>64</v>
      </c>
      <c r="H11" s="3">
        <v>45373</v>
      </c>
      <c r="I11" s="2" t="s">
        <v>14</v>
      </c>
      <c r="J11" s="5" t="str">
        <f t="shared" si="0"/>
        <v>POOR</v>
      </c>
    </row>
    <row r="12" spans="1:10">
      <c r="A12" s="2" t="s">
        <v>39</v>
      </c>
      <c r="B12" s="2" t="s">
        <v>40</v>
      </c>
      <c r="C12" s="1">
        <v>24</v>
      </c>
      <c r="D12" s="2" t="s">
        <v>12</v>
      </c>
      <c r="E12" s="2" t="s">
        <v>13</v>
      </c>
      <c r="F12" s="1">
        <v>85</v>
      </c>
      <c r="G12" s="1">
        <v>59</v>
      </c>
      <c r="H12" s="3">
        <v>45379</v>
      </c>
      <c r="I12" s="2" t="s">
        <v>19</v>
      </c>
      <c r="J12" s="5" t="str">
        <f t="shared" si="0"/>
        <v>EXCELLENT</v>
      </c>
    </row>
    <row r="13" spans="1:10">
      <c r="A13" s="2" t="s">
        <v>41</v>
      </c>
      <c r="B13" s="2" t="s">
        <v>42</v>
      </c>
      <c r="C13" s="1">
        <v>22</v>
      </c>
      <c r="D13" s="2" t="s">
        <v>17</v>
      </c>
      <c r="E13" s="2" t="s">
        <v>32</v>
      </c>
      <c r="F13" s="1">
        <v>53</v>
      </c>
      <c r="G13" s="1">
        <v>97</v>
      </c>
      <c r="H13" s="3">
        <v>45366</v>
      </c>
      <c r="I13" s="2"/>
      <c r="J13" s="5" t="str">
        <f t="shared" si="0"/>
        <v>POOR</v>
      </c>
    </row>
    <row r="14" spans="1:10">
      <c r="A14" s="2" t="s">
        <v>43</v>
      </c>
      <c r="B14" s="2" t="s">
        <v>44</v>
      </c>
      <c r="C14" s="1">
        <v>21</v>
      </c>
      <c r="D14" s="2" t="s">
        <v>17</v>
      </c>
      <c r="E14" s="2" t="s">
        <v>32</v>
      </c>
      <c r="F14" s="1">
        <v>64</v>
      </c>
      <c r="G14" s="1">
        <v>54</v>
      </c>
      <c r="H14" s="3">
        <v>45379</v>
      </c>
      <c r="I14" s="2" t="s">
        <v>19</v>
      </c>
      <c r="J14" s="5" t="str">
        <f t="shared" si="0"/>
        <v>AVERAGE</v>
      </c>
    </row>
    <row r="15" spans="1:10">
      <c r="A15" s="2" t="s">
        <v>45</v>
      </c>
      <c r="B15" s="2" t="s">
        <v>46</v>
      </c>
      <c r="C15" s="1">
        <v>25</v>
      </c>
      <c r="D15" s="2" t="s">
        <v>17</v>
      </c>
      <c r="E15" s="2" t="s">
        <v>32</v>
      </c>
      <c r="F15" s="1">
        <v>92</v>
      </c>
      <c r="G15" s="1">
        <v>77</v>
      </c>
      <c r="H15" s="3">
        <v>45366</v>
      </c>
      <c r="I15" s="2" t="s">
        <v>47</v>
      </c>
      <c r="J15" s="5" t="str">
        <f t="shared" si="0"/>
        <v>AVERAGE</v>
      </c>
    </row>
    <row r="16" spans="1:10">
      <c r="A16" s="2" t="s">
        <v>48</v>
      </c>
      <c r="B16" s="2" t="s">
        <v>49</v>
      </c>
      <c r="C16" s="1">
        <v>19</v>
      </c>
      <c r="D16" s="2" t="s">
        <v>17</v>
      </c>
      <c r="E16" s="2" t="s">
        <v>29</v>
      </c>
      <c r="F16" s="1">
        <v>89</v>
      </c>
      <c r="G16" s="1">
        <v>71</v>
      </c>
      <c r="H16" s="3">
        <v>45366</v>
      </c>
      <c r="I16" s="2" t="s">
        <v>47</v>
      </c>
      <c r="J16" s="5" t="str">
        <f t="shared" si="0"/>
        <v>AVERAGE</v>
      </c>
    </row>
    <row r="17" spans="1:10">
      <c r="A17" s="2" t="s">
        <v>50</v>
      </c>
      <c r="B17" s="2" t="s">
        <v>51</v>
      </c>
      <c r="C17" s="1">
        <v>22</v>
      </c>
      <c r="D17" s="2" t="s">
        <v>17</v>
      </c>
      <c r="E17" s="2" t="s">
        <v>13</v>
      </c>
      <c r="F17" s="1">
        <v>59</v>
      </c>
      <c r="G17" s="1">
        <v>71</v>
      </c>
      <c r="H17" s="3">
        <v>45366</v>
      </c>
      <c r="I17" s="2" t="s">
        <v>19</v>
      </c>
      <c r="J17" s="5" t="str">
        <f t="shared" si="0"/>
        <v>POOR</v>
      </c>
    </row>
    <row r="18" spans="1:10">
      <c r="A18" s="2" t="s">
        <v>52</v>
      </c>
      <c r="B18" s="2" t="s">
        <v>53</v>
      </c>
      <c r="C18" s="1">
        <v>19</v>
      </c>
      <c r="D18" s="2" t="s">
        <v>17</v>
      </c>
      <c r="E18" s="2" t="s">
        <v>29</v>
      </c>
      <c r="F18" s="1">
        <v>61</v>
      </c>
      <c r="G18" s="1">
        <v>55</v>
      </c>
      <c r="H18" s="3">
        <v>45379</v>
      </c>
      <c r="I18" s="2" t="s">
        <v>19</v>
      </c>
      <c r="J18" s="5" t="str">
        <f t="shared" si="0"/>
        <v>Need Improvement</v>
      </c>
    </row>
    <row r="19" spans="1:10">
      <c r="A19" s="2" t="s">
        <v>54</v>
      </c>
      <c r="B19" s="2" t="s">
        <v>55</v>
      </c>
      <c r="C19" s="1">
        <v>22</v>
      </c>
      <c r="D19" s="2" t="s">
        <v>17</v>
      </c>
      <c r="E19" s="2" t="s">
        <v>29</v>
      </c>
      <c r="F19" s="1">
        <v>69</v>
      </c>
      <c r="G19" s="1">
        <v>70</v>
      </c>
      <c r="H19" s="3">
        <v>45373</v>
      </c>
      <c r="I19" s="2" t="s">
        <v>14</v>
      </c>
      <c r="J19" s="5" t="str">
        <f t="shared" si="0"/>
        <v>EXCELLENT</v>
      </c>
    </row>
    <row r="20" spans="1:10">
      <c r="A20" s="2" t="s">
        <v>56</v>
      </c>
      <c r="B20" s="2" t="s">
        <v>57</v>
      </c>
      <c r="C20" s="1">
        <v>19</v>
      </c>
      <c r="D20" s="2" t="s">
        <v>17</v>
      </c>
      <c r="E20" s="2" t="s">
        <v>18</v>
      </c>
      <c r="F20" s="1">
        <v>75</v>
      </c>
      <c r="G20" s="1">
        <v>100</v>
      </c>
      <c r="H20" s="3">
        <v>45371</v>
      </c>
      <c r="I20" s="2" t="s">
        <v>58</v>
      </c>
      <c r="J20" s="5" t="str">
        <f t="shared" si="0"/>
        <v>EXCELLENT</v>
      </c>
    </row>
    <row r="21" spans="1:10">
      <c r="A21" s="2" t="s">
        <v>59</v>
      </c>
      <c r="B21" s="2" t="s">
        <v>60</v>
      </c>
      <c r="C21" s="1">
        <v>19</v>
      </c>
      <c r="D21" s="2" t="s">
        <v>12</v>
      </c>
      <c r="E21" s="2" t="s">
        <v>29</v>
      </c>
      <c r="F21" s="1">
        <v>82</v>
      </c>
      <c r="G21" s="1">
        <v>95</v>
      </c>
      <c r="H21" s="3">
        <v>45369</v>
      </c>
      <c r="I21" s="2" t="s">
        <v>58</v>
      </c>
      <c r="J21" s="5" t="str">
        <f t="shared" si="0"/>
        <v>EXCELLENT</v>
      </c>
    </row>
    <row r="22" spans="1:10">
      <c r="A22" s="2" t="s">
        <v>61</v>
      </c>
      <c r="B22" s="2" t="s">
        <v>62</v>
      </c>
      <c r="C22" s="1">
        <v>19</v>
      </c>
      <c r="D22" s="2" t="s">
        <v>12</v>
      </c>
      <c r="E22" s="2" t="s">
        <v>13</v>
      </c>
      <c r="F22" s="1">
        <v>69</v>
      </c>
      <c r="G22" s="1">
        <v>92</v>
      </c>
      <c r="H22" s="3">
        <v>45370</v>
      </c>
      <c r="I22" s="2" t="s">
        <v>58</v>
      </c>
      <c r="J22" s="5" t="str">
        <f t="shared" si="0"/>
        <v>Need Improvement</v>
      </c>
    </row>
    <row r="23" spans="1:10">
      <c r="A23" s="2" t="s">
        <v>63</v>
      </c>
      <c r="B23" s="2" t="s">
        <v>64</v>
      </c>
      <c r="C23" s="1">
        <v>22</v>
      </c>
      <c r="D23" s="2" t="s">
        <v>12</v>
      </c>
      <c r="E23" s="2" t="s">
        <v>18</v>
      </c>
      <c r="F23" s="1">
        <v>74</v>
      </c>
      <c r="G23" s="1">
        <v>63</v>
      </c>
      <c r="H23" s="3">
        <v>45369</v>
      </c>
      <c r="I23" s="2"/>
      <c r="J23" s="5" t="str">
        <f t="shared" si="0"/>
        <v>GOOD</v>
      </c>
    </row>
    <row r="24" spans="1:10">
      <c r="A24" s="2" t="s">
        <v>20</v>
      </c>
      <c r="B24" s="2" t="s">
        <v>21</v>
      </c>
      <c r="C24" s="1">
        <v>21</v>
      </c>
      <c r="D24" s="2" t="s">
        <v>12</v>
      </c>
      <c r="E24" s="2" t="s">
        <v>13</v>
      </c>
      <c r="F24" s="1">
        <v>69</v>
      </c>
      <c r="G24" s="1">
        <v>81</v>
      </c>
      <c r="H24" s="3">
        <v>45370</v>
      </c>
      <c r="I24" s="2" t="s">
        <v>22</v>
      </c>
      <c r="J24" s="5" t="str">
        <f t="shared" si="0"/>
        <v>POOR</v>
      </c>
    </row>
    <row r="25" spans="1:10">
      <c r="A25" s="2" t="s">
        <v>65</v>
      </c>
      <c r="B25" s="2" t="s">
        <v>66</v>
      </c>
      <c r="C25" s="1">
        <v>23</v>
      </c>
      <c r="D25" s="2" t="s">
        <v>17</v>
      </c>
      <c r="E25" s="2" t="s">
        <v>29</v>
      </c>
      <c r="F25" s="1">
        <v>89</v>
      </c>
      <c r="G25" s="1">
        <v>58</v>
      </c>
      <c r="H25" s="3">
        <v>45371</v>
      </c>
      <c r="I25" s="2" t="s">
        <v>19</v>
      </c>
      <c r="J25" s="5" t="str">
        <f t="shared" si="0"/>
        <v>GOOD</v>
      </c>
    </row>
    <row r="26" spans="1:10">
      <c r="A26" s="2" t="s">
        <v>67</v>
      </c>
      <c r="B26" s="2" t="s">
        <v>68</v>
      </c>
      <c r="C26" s="1">
        <v>22</v>
      </c>
      <c r="D26" s="2" t="s">
        <v>12</v>
      </c>
      <c r="E26" s="2" t="s">
        <v>13</v>
      </c>
      <c r="F26" s="1">
        <v>51</v>
      </c>
      <c r="G26" s="1">
        <v>85</v>
      </c>
      <c r="H26" s="3">
        <v>45371</v>
      </c>
      <c r="I26" s="2" t="s">
        <v>22</v>
      </c>
      <c r="J26" s="5" t="str">
        <f t="shared" si="0"/>
        <v>EXCELLENT</v>
      </c>
    </row>
    <row r="27" spans="1:10">
      <c r="A27" s="2" t="s">
        <v>69</v>
      </c>
      <c r="B27" s="2" t="s">
        <v>70</v>
      </c>
      <c r="C27" s="1">
        <v>21</v>
      </c>
      <c r="D27" s="2" t="s">
        <v>12</v>
      </c>
      <c r="E27" s="2" t="s">
        <v>18</v>
      </c>
      <c r="F27" s="1">
        <v>63</v>
      </c>
      <c r="G27" s="1">
        <v>98</v>
      </c>
      <c r="H27" s="3">
        <v>45369</v>
      </c>
      <c r="I27" s="2" t="s">
        <v>58</v>
      </c>
      <c r="J27" s="5" t="str">
        <f t="shared" si="0"/>
        <v>AVERAGE</v>
      </c>
    </row>
    <row r="28" spans="1:10">
      <c r="A28" s="2" t="s">
        <v>71</v>
      </c>
      <c r="B28" s="2" t="s">
        <v>72</v>
      </c>
      <c r="C28" s="1">
        <v>21</v>
      </c>
      <c r="D28" s="2" t="s">
        <v>17</v>
      </c>
      <c r="E28" s="2" t="s">
        <v>18</v>
      </c>
      <c r="F28" s="1">
        <v>87</v>
      </c>
      <c r="G28" s="1">
        <v>79</v>
      </c>
      <c r="H28" s="3">
        <v>45371</v>
      </c>
      <c r="I28" s="2" t="s">
        <v>47</v>
      </c>
      <c r="J28" s="5" t="str">
        <f t="shared" si="0"/>
        <v>AVERAGE</v>
      </c>
    </row>
    <row r="29" spans="1:10">
      <c r="A29" s="2" t="s">
        <v>73</v>
      </c>
      <c r="B29" s="2" t="s">
        <v>74</v>
      </c>
      <c r="C29" s="1">
        <v>20</v>
      </c>
      <c r="D29" s="2" t="s">
        <v>12</v>
      </c>
      <c r="E29" s="2" t="s">
        <v>32</v>
      </c>
      <c r="F29" s="1">
        <v>97</v>
      </c>
      <c r="G29" s="1">
        <v>80</v>
      </c>
      <c r="H29" s="3">
        <v>45369</v>
      </c>
      <c r="I29" s="2" t="s">
        <v>47</v>
      </c>
      <c r="J29" s="5" t="str">
        <f t="shared" si="0"/>
        <v>Need Improvement</v>
      </c>
    </row>
    <row r="30" spans="1:10">
      <c r="A30" s="2" t="s">
        <v>75</v>
      </c>
      <c r="B30" s="2" t="s">
        <v>76</v>
      </c>
      <c r="C30" s="1">
        <v>24</v>
      </c>
      <c r="D30" s="2" t="s">
        <v>12</v>
      </c>
      <c r="E30" s="2" t="s">
        <v>18</v>
      </c>
      <c r="F30" s="1">
        <v>76</v>
      </c>
      <c r="G30" s="1">
        <v>64</v>
      </c>
      <c r="H30" s="3">
        <v>45376</v>
      </c>
      <c r="I30" s="2" t="s">
        <v>14</v>
      </c>
      <c r="J30" s="5" t="str">
        <f t="shared" si="0"/>
        <v>GOOD</v>
      </c>
    </row>
    <row r="31" spans="1:10">
      <c r="A31" s="2" t="s">
        <v>77</v>
      </c>
      <c r="B31" s="2" t="s">
        <v>78</v>
      </c>
      <c r="C31" s="1">
        <v>20</v>
      </c>
      <c r="D31" s="2" t="s">
        <v>17</v>
      </c>
      <c r="E31" s="2" t="s">
        <v>29</v>
      </c>
      <c r="F31" s="1">
        <v>77</v>
      </c>
      <c r="G31" s="1">
        <v>90</v>
      </c>
      <c r="H31" s="3">
        <v>45371</v>
      </c>
      <c r="I31" s="2" t="s">
        <v>22</v>
      </c>
      <c r="J31" s="5" t="str">
        <f t="shared" si="0"/>
        <v>POOR</v>
      </c>
    </row>
    <row r="32" spans="1:10">
      <c r="A32" s="2" t="s">
        <v>79</v>
      </c>
      <c r="B32" s="2" t="s">
        <v>80</v>
      </c>
      <c r="C32" s="1">
        <v>21</v>
      </c>
      <c r="D32" s="2" t="s">
        <v>17</v>
      </c>
      <c r="E32" s="2" t="s">
        <v>29</v>
      </c>
      <c r="F32" s="1">
        <v>55</v>
      </c>
      <c r="G32" s="1">
        <v>59</v>
      </c>
      <c r="H32" s="3">
        <v>45366</v>
      </c>
      <c r="I32" s="2" t="s">
        <v>19</v>
      </c>
      <c r="J32" s="5" t="str">
        <f t="shared" si="0"/>
        <v>Need Improvement</v>
      </c>
    </row>
    <row r="33" spans="1:10">
      <c r="A33" s="2" t="s">
        <v>81</v>
      </c>
      <c r="B33" s="2" t="s">
        <v>82</v>
      </c>
      <c r="C33" s="1">
        <v>19</v>
      </c>
      <c r="D33" s="2" t="s">
        <v>17</v>
      </c>
      <c r="E33" s="2" t="s">
        <v>29</v>
      </c>
      <c r="F33" s="1">
        <v>73</v>
      </c>
      <c r="G33" s="1">
        <v>67</v>
      </c>
      <c r="H33" s="3"/>
      <c r="I33" s="2" t="s">
        <v>14</v>
      </c>
      <c r="J33" s="5" t="str">
        <f t="shared" si="0"/>
        <v>AVERAGE</v>
      </c>
    </row>
    <row r="34" spans="1:10">
      <c r="A34" s="2" t="s">
        <v>83</v>
      </c>
      <c r="B34" s="2" t="s">
        <v>84</v>
      </c>
      <c r="C34" s="1">
        <v>21</v>
      </c>
      <c r="D34" s="2" t="s">
        <v>17</v>
      </c>
      <c r="E34" s="2" t="s">
        <v>29</v>
      </c>
      <c r="F34" s="1">
        <v>78</v>
      </c>
      <c r="G34" s="1">
        <v>72</v>
      </c>
      <c r="H34" s="3">
        <v>45369</v>
      </c>
      <c r="I34" s="2" t="s">
        <v>47</v>
      </c>
      <c r="J34" s="5" t="str">
        <f t="shared" ref="J34:J57" si="1">IF(G35&lt;=60, "POOR",IF(G35&lt;=70,"Need Improvement",IF(G35&lt;=80,"AVERAGE",IF(G35&lt;=90,"GOOD", "EXCELLENT"))))</f>
        <v>AVERAGE</v>
      </c>
    </row>
    <row r="35" spans="1:10">
      <c r="A35" s="2" t="s">
        <v>85</v>
      </c>
      <c r="B35" s="2" t="s">
        <v>86</v>
      </c>
      <c r="C35" s="1">
        <v>19</v>
      </c>
      <c r="D35" s="2" t="s">
        <v>12</v>
      </c>
      <c r="E35" s="2" t="s">
        <v>29</v>
      </c>
      <c r="F35" s="1">
        <v>62</v>
      </c>
      <c r="G35" s="1">
        <v>76</v>
      </c>
      <c r="H35" s="3">
        <v>45371</v>
      </c>
      <c r="I35" s="2" t="s">
        <v>47</v>
      </c>
      <c r="J35" s="5" t="str">
        <f t="shared" si="1"/>
        <v>Need Improvement</v>
      </c>
    </row>
    <row r="36" spans="1:10">
      <c r="A36" s="2" t="s">
        <v>87</v>
      </c>
      <c r="B36" s="2" t="s">
        <v>88</v>
      </c>
      <c r="C36" s="1">
        <v>25</v>
      </c>
      <c r="D36" s="2" t="s">
        <v>12</v>
      </c>
      <c r="E36" s="2" t="s">
        <v>29</v>
      </c>
      <c r="F36" s="1">
        <v>64</v>
      </c>
      <c r="G36" s="1">
        <v>62</v>
      </c>
      <c r="H36" s="3"/>
      <c r="I36" s="2"/>
      <c r="J36" s="5" t="str">
        <f t="shared" si="1"/>
        <v>POOR</v>
      </c>
    </row>
    <row r="37" spans="1:10">
      <c r="A37" s="2" t="s">
        <v>89</v>
      </c>
      <c r="B37" s="2" t="s">
        <v>90</v>
      </c>
      <c r="C37" s="1">
        <v>22</v>
      </c>
      <c r="D37" s="2" t="s">
        <v>17</v>
      </c>
      <c r="E37" s="2" t="s">
        <v>13</v>
      </c>
      <c r="F37" s="1">
        <v>69</v>
      </c>
      <c r="G37" s="1">
        <v>56</v>
      </c>
      <c r="H37" s="3">
        <v>45373</v>
      </c>
      <c r="I37" s="2" t="s">
        <v>19</v>
      </c>
      <c r="J37" s="5" t="str">
        <f t="shared" si="1"/>
        <v>GOOD</v>
      </c>
    </row>
    <row r="38" spans="1:10">
      <c r="A38" s="2" t="s">
        <v>91</v>
      </c>
      <c r="B38" s="2" t="s">
        <v>92</v>
      </c>
      <c r="C38" s="1">
        <v>21</v>
      </c>
      <c r="D38" s="2" t="s">
        <v>17</v>
      </c>
      <c r="E38" s="2" t="s">
        <v>32</v>
      </c>
      <c r="F38" s="1">
        <v>51</v>
      </c>
      <c r="G38" s="1">
        <v>82</v>
      </c>
      <c r="H38" s="3">
        <v>45363</v>
      </c>
      <c r="I38" s="2" t="s">
        <v>22</v>
      </c>
      <c r="J38" s="5" t="str">
        <f t="shared" si="1"/>
        <v>Need Improvement</v>
      </c>
    </row>
    <row r="39" spans="1:10">
      <c r="A39" s="2" t="s">
        <v>93</v>
      </c>
      <c r="B39" s="2" t="s">
        <v>94</v>
      </c>
      <c r="C39" s="1">
        <v>19</v>
      </c>
      <c r="D39" s="2" t="s">
        <v>12</v>
      </c>
      <c r="E39" s="2" t="s">
        <v>32</v>
      </c>
      <c r="F39" s="1">
        <v>66</v>
      </c>
      <c r="G39" s="1">
        <v>65</v>
      </c>
      <c r="H39" s="3"/>
      <c r="I39" s="2" t="s">
        <v>14</v>
      </c>
      <c r="J39" s="5" t="str">
        <f t="shared" si="1"/>
        <v>AVERAGE</v>
      </c>
    </row>
    <row r="40" spans="1:10">
      <c r="A40" s="2" t="s">
        <v>95</v>
      </c>
      <c r="B40" s="2" t="s">
        <v>96</v>
      </c>
      <c r="C40" s="1">
        <v>22</v>
      </c>
      <c r="D40" s="2" t="s">
        <v>12</v>
      </c>
      <c r="E40" s="2" t="s">
        <v>32</v>
      </c>
      <c r="F40" s="1">
        <v>61</v>
      </c>
      <c r="G40" s="1">
        <v>80</v>
      </c>
      <c r="H40" s="3">
        <v>45373</v>
      </c>
      <c r="I40" s="2" t="s">
        <v>47</v>
      </c>
      <c r="J40" s="5" t="str">
        <f t="shared" si="1"/>
        <v>POOR</v>
      </c>
    </row>
    <row r="41" spans="1:10">
      <c r="A41" s="2" t="s">
        <v>97</v>
      </c>
      <c r="B41" s="2" t="s">
        <v>98</v>
      </c>
      <c r="C41" s="1">
        <v>21</v>
      </c>
      <c r="D41" s="2" t="s">
        <v>17</v>
      </c>
      <c r="E41" s="2" t="s">
        <v>32</v>
      </c>
      <c r="F41" s="1">
        <v>67</v>
      </c>
      <c r="G41" s="1">
        <v>58</v>
      </c>
      <c r="H41" s="3">
        <v>45369</v>
      </c>
      <c r="I41" s="2" t="s">
        <v>19</v>
      </c>
      <c r="J41" s="5" t="str">
        <f t="shared" si="1"/>
        <v>AVERAGE</v>
      </c>
    </row>
    <row r="42" spans="1:10">
      <c r="A42" s="2" t="s">
        <v>99</v>
      </c>
      <c r="B42" s="2" t="s">
        <v>100</v>
      </c>
      <c r="C42" s="1">
        <v>22</v>
      </c>
      <c r="D42" s="2" t="s">
        <v>17</v>
      </c>
      <c r="E42" s="2" t="s">
        <v>32</v>
      </c>
      <c r="F42" s="1">
        <v>56</v>
      </c>
      <c r="G42" s="1">
        <v>75</v>
      </c>
      <c r="H42" s="3">
        <v>45366</v>
      </c>
      <c r="I42" s="2" t="s">
        <v>47</v>
      </c>
      <c r="J42" s="5" t="str">
        <f t="shared" si="1"/>
        <v>AVERAGE</v>
      </c>
    </row>
    <row r="43" spans="1:10">
      <c r="A43" s="2" t="s">
        <v>101</v>
      </c>
      <c r="B43" s="2" t="s">
        <v>102</v>
      </c>
      <c r="C43" s="1">
        <v>22</v>
      </c>
      <c r="D43" s="2" t="s">
        <v>17</v>
      </c>
      <c r="E43" s="2" t="s">
        <v>32</v>
      </c>
      <c r="F43" s="1">
        <v>96</v>
      </c>
      <c r="G43" s="1">
        <v>78</v>
      </c>
      <c r="H43" s="3">
        <v>45379</v>
      </c>
      <c r="I43" s="2" t="s">
        <v>47</v>
      </c>
      <c r="J43" s="5" t="str">
        <f t="shared" si="1"/>
        <v>POOR</v>
      </c>
    </row>
    <row r="44" spans="1:10">
      <c r="A44" s="2" t="s">
        <v>103</v>
      </c>
      <c r="B44" s="2" t="s">
        <v>104</v>
      </c>
      <c r="C44" s="1">
        <v>23</v>
      </c>
      <c r="D44" s="2" t="s">
        <v>17</v>
      </c>
      <c r="E44" s="2" t="s">
        <v>13</v>
      </c>
      <c r="F44" s="1">
        <v>81</v>
      </c>
      <c r="G44" s="1">
        <v>52</v>
      </c>
      <c r="H44" s="3">
        <v>45373</v>
      </c>
      <c r="I44" s="2" t="s">
        <v>19</v>
      </c>
      <c r="J44" s="5" t="str">
        <f t="shared" si="1"/>
        <v>Need Improvement</v>
      </c>
    </row>
    <row r="45" spans="1:10">
      <c r="A45" s="2" t="s">
        <v>105</v>
      </c>
      <c r="B45" s="2" t="s">
        <v>106</v>
      </c>
      <c r="C45" s="1">
        <v>22</v>
      </c>
      <c r="D45" s="2" t="s">
        <v>12</v>
      </c>
      <c r="E45" s="2" t="s">
        <v>32</v>
      </c>
      <c r="F45" s="1">
        <v>85</v>
      </c>
      <c r="G45" s="1">
        <v>67</v>
      </c>
      <c r="H45" s="3">
        <v>45371</v>
      </c>
      <c r="I45" s="2" t="s">
        <v>14</v>
      </c>
      <c r="J45" s="5" t="str">
        <f t="shared" si="1"/>
        <v>POOR</v>
      </c>
    </row>
    <row r="46" spans="1:10">
      <c r="A46" s="2" t="s">
        <v>107</v>
      </c>
      <c r="B46" s="2" t="s">
        <v>108</v>
      </c>
      <c r="C46" s="1">
        <v>22</v>
      </c>
      <c r="D46" s="2" t="s">
        <v>17</v>
      </c>
      <c r="E46" s="2" t="s">
        <v>29</v>
      </c>
      <c r="F46" s="1">
        <v>91</v>
      </c>
      <c r="G46" s="1">
        <v>57</v>
      </c>
      <c r="H46" s="3">
        <v>45366</v>
      </c>
      <c r="I46" s="2" t="s">
        <v>19</v>
      </c>
      <c r="J46" s="5" t="str">
        <f t="shared" si="1"/>
        <v>POOR</v>
      </c>
    </row>
    <row r="47" spans="1:10">
      <c r="A47" s="2" t="s">
        <v>109</v>
      </c>
      <c r="B47" s="2" t="s">
        <v>110</v>
      </c>
      <c r="C47" s="1">
        <v>22</v>
      </c>
      <c r="D47" s="2" t="s">
        <v>12</v>
      </c>
      <c r="E47" s="2" t="s">
        <v>18</v>
      </c>
      <c r="F47" s="1">
        <v>76</v>
      </c>
      <c r="G47" s="1">
        <v>53</v>
      </c>
      <c r="H47" s="3">
        <v>45379</v>
      </c>
      <c r="I47" s="2"/>
      <c r="J47" s="5" t="str">
        <f t="shared" si="1"/>
        <v>AVERAGE</v>
      </c>
    </row>
    <row r="48" spans="1:10">
      <c r="A48" s="2" t="s">
        <v>111</v>
      </c>
      <c r="B48" s="2" t="s">
        <v>112</v>
      </c>
      <c r="C48" s="1">
        <v>25</v>
      </c>
      <c r="D48" s="2" t="s">
        <v>12</v>
      </c>
      <c r="E48" s="2" t="s">
        <v>29</v>
      </c>
      <c r="F48" s="1">
        <v>54</v>
      </c>
      <c r="G48" s="1">
        <v>71</v>
      </c>
      <c r="H48" s="3">
        <v>45366</v>
      </c>
      <c r="I48" s="2" t="s">
        <v>19</v>
      </c>
      <c r="J48" s="5" t="str">
        <f t="shared" si="1"/>
        <v>Need Improvement</v>
      </c>
    </row>
    <row r="49" spans="1:10">
      <c r="A49" s="2" t="s">
        <v>113</v>
      </c>
      <c r="B49" s="2" t="s">
        <v>114</v>
      </c>
      <c r="C49" s="1">
        <v>19</v>
      </c>
      <c r="D49" s="2" t="s">
        <v>17</v>
      </c>
      <c r="E49" s="2" t="s">
        <v>13</v>
      </c>
      <c r="F49" s="1">
        <v>78</v>
      </c>
      <c r="G49" s="1">
        <v>66</v>
      </c>
      <c r="H49" s="3">
        <v>45369</v>
      </c>
      <c r="I49" s="2" t="s">
        <v>14</v>
      </c>
      <c r="J49" s="5" t="str">
        <f t="shared" si="1"/>
        <v>EXCELLENT</v>
      </c>
    </row>
    <row r="50" spans="1:10">
      <c r="A50" s="2" t="s">
        <v>115</v>
      </c>
      <c r="B50" s="2" t="s">
        <v>116</v>
      </c>
      <c r="C50" s="1">
        <v>20</v>
      </c>
      <c r="D50" s="2" t="s">
        <v>12</v>
      </c>
      <c r="E50" s="2" t="s">
        <v>32</v>
      </c>
      <c r="F50" s="1">
        <v>80</v>
      </c>
      <c r="G50" s="1">
        <v>92</v>
      </c>
      <c r="H50" s="3">
        <v>45366</v>
      </c>
      <c r="I50" s="2" t="s">
        <v>58</v>
      </c>
      <c r="J50" s="5" t="str">
        <f t="shared" si="1"/>
        <v>Need Improvement</v>
      </c>
    </row>
    <row r="51" spans="1:10">
      <c r="A51" s="2" t="s">
        <v>117</v>
      </c>
      <c r="B51" s="2" t="s">
        <v>118</v>
      </c>
      <c r="C51" s="1">
        <v>21</v>
      </c>
      <c r="D51" s="2" t="s">
        <v>17</v>
      </c>
      <c r="E51" s="2" t="s">
        <v>32</v>
      </c>
      <c r="F51" s="1">
        <v>89</v>
      </c>
      <c r="G51" s="1">
        <v>63</v>
      </c>
      <c r="H51" s="3">
        <v>45376</v>
      </c>
      <c r="I51" s="2" t="s">
        <v>14</v>
      </c>
      <c r="J51" s="5" t="str">
        <f t="shared" si="1"/>
        <v>GOOD</v>
      </c>
    </row>
    <row r="52" spans="1:10">
      <c r="A52" s="2" t="s">
        <v>119</v>
      </c>
      <c r="B52" s="2" t="s">
        <v>120</v>
      </c>
      <c r="C52" s="1">
        <v>25</v>
      </c>
      <c r="D52" s="2" t="s">
        <v>17</v>
      </c>
      <c r="E52" s="2" t="s">
        <v>32</v>
      </c>
      <c r="F52" s="1">
        <v>72</v>
      </c>
      <c r="G52" s="1">
        <v>85</v>
      </c>
      <c r="H52" s="3">
        <v>45363</v>
      </c>
      <c r="I52" s="2" t="s">
        <v>22</v>
      </c>
      <c r="J52" s="5" t="str">
        <f t="shared" si="1"/>
        <v>GOOD</v>
      </c>
    </row>
    <row r="53" spans="1:10">
      <c r="A53" s="2" t="s">
        <v>121</v>
      </c>
      <c r="B53" s="2" t="s">
        <v>11</v>
      </c>
      <c r="C53" s="1">
        <v>22</v>
      </c>
      <c r="D53" s="2" t="s">
        <v>12</v>
      </c>
      <c r="E53" s="2" t="s">
        <v>32</v>
      </c>
      <c r="F53" s="1">
        <v>56</v>
      </c>
      <c r="G53" s="1">
        <v>89</v>
      </c>
      <c r="H53" s="3">
        <v>45371</v>
      </c>
      <c r="I53" s="2" t="s">
        <v>22</v>
      </c>
      <c r="J53" s="5" t="str">
        <f t="shared" si="1"/>
        <v>GOOD</v>
      </c>
    </row>
    <row r="54" spans="1:10">
      <c r="A54" s="2" t="s">
        <v>122</v>
      </c>
      <c r="B54" s="2" t="s">
        <v>16</v>
      </c>
      <c r="C54" s="1">
        <v>22</v>
      </c>
      <c r="D54" s="2" t="s">
        <v>12</v>
      </c>
      <c r="E54" s="2" t="s">
        <v>29</v>
      </c>
      <c r="F54" s="1">
        <v>64</v>
      </c>
      <c r="G54" s="1">
        <v>81</v>
      </c>
      <c r="H54" s="3">
        <v>45376</v>
      </c>
      <c r="I54" s="2"/>
      <c r="J54" s="5" t="str">
        <f t="shared" si="1"/>
        <v>AVERAGE</v>
      </c>
    </row>
    <row r="55" spans="1:10">
      <c r="A55" s="2" t="s">
        <v>123</v>
      </c>
      <c r="B55" s="2" t="s">
        <v>40</v>
      </c>
      <c r="C55" s="1">
        <v>20</v>
      </c>
      <c r="D55" s="2" t="s">
        <v>17</v>
      </c>
      <c r="E55" s="2" t="s">
        <v>32</v>
      </c>
      <c r="F55" s="1">
        <v>69</v>
      </c>
      <c r="G55" s="1">
        <v>74</v>
      </c>
      <c r="H55" s="3">
        <v>45369</v>
      </c>
      <c r="I55" s="2" t="s">
        <v>47</v>
      </c>
      <c r="J55" s="5" t="str">
        <f t="shared" si="1"/>
        <v>AVERAGE</v>
      </c>
    </row>
    <row r="56" spans="1:10">
      <c r="A56" s="2" t="s">
        <v>124</v>
      </c>
      <c r="B56" s="2" t="s">
        <v>42</v>
      </c>
      <c r="C56" s="1">
        <v>20</v>
      </c>
      <c r="D56" s="2" t="s">
        <v>17</v>
      </c>
      <c r="E56" s="2" t="s">
        <v>32</v>
      </c>
      <c r="F56" s="1">
        <v>83</v>
      </c>
      <c r="G56" s="1">
        <v>71</v>
      </c>
      <c r="H56" s="3">
        <v>45369</v>
      </c>
      <c r="I56" s="2" t="s">
        <v>47</v>
      </c>
      <c r="J56" s="5" t="str">
        <f t="shared" si="1"/>
        <v>Need Improvement</v>
      </c>
    </row>
    <row r="57" spans="1:10">
      <c r="A57" s="2" t="s">
        <v>125</v>
      </c>
      <c r="B57" s="2" t="s">
        <v>44</v>
      </c>
      <c r="C57" s="1">
        <v>22</v>
      </c>
      <c r="D57" s="2" t="s">
        <v>17</v>
      </c>
      <c r="E57" s="2" t="s">
        <v>32</v>
      </c>
      <c r="F57" s="1">
        <v>80</v>
      </c>
      <c r="G57" s="1">
        <v>68</v>
      </c>
      <c r="H57" s="3">
        <v>45379</v>
      </c>
      <c r="I57" s="2" t="s">
        <v>14</v>
      </c>
      <c r="J57" s="5" t="str">
        <f t="shared" si="1"/>
        <v>POOR</v>
      </c>
    </row>
    <row r="58" spans="1:10">
      <c r="A58" s="2"/>
      <c r="B58" s="2"/>
      <c r="D58" s="2"/>
      <c r="E58" s="2"/>
      <c r="H58" s="3"/>
      <c r="I58" s="2"/>
    </row>
    <row r="59" spans="1:10">
      <c r="A59"/>
      <c r="B59"/>
      <c r="C59"/>
      <c r="D59"/>
      <c r="E59"/>
      <c r="F59"/>
      <c r="G59"/>
      <c r="H59"/>
      <c r="I59"/>
    </row>
    <row r="61" spans="1:10">
      <c r="F61" s="1" t="s">
        <v>126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3FE85-08B1-49E7-B651-F03814BCC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Kumaran M</dc:creator>
  <cp:keywords/>
  <dc:description/>
  <cp:lastModifiedBy>Keerthana Kumaresan</cp:lastModifiedBy>
  <cp:revision/>
  <dcterms:created xsi:type="dcterms:W3CDTF">2025-10-17T06:56:43Z</dcterms:created>
  <dcterms:modified xsi:type="dcterms:W3CDTF">2025-11-03T07:04:34Z</dcterms:modified>
  <cp:category/>
  <cp:contentStatus/>
</cp:coreProperties>
</file>